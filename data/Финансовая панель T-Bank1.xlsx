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3D269B4-DD12-47CB-88E0-3B1E966EB402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Отчет о прибылях и убытках" sheetId="1" r:id="rId1"/>
    <sheet name="Бухгалтерский баланс" sheetId="5" r:id="rId2"/>
    <sheet name="KPI" sheetId="6" r:id="rId3"/>
    <sheet name="Ежеквартальный отчет" sheetId="7" r:id="rId4"/>
    <sheet name="Отчёт о движении денежных средс" sheetId="8" r:id="rId5"/>
    <sheet name="Панель управления" sheetId="9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9" l="1"/>
  <c r="J3" i="9"/>
  <c r="H3" i="9"/>
  <c r="F3" i="9"/>
  <c r="D6" i="8"/>
  <c r="D5" i="8"/>
  <c r="D4" i="8"/>
  <c r="D3" i="8"/>
  <c r="D2" i="8"/>
  <c r="F4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<sst xmlns="http://schemas.openxmlformats.org/spreadsheetml/2006/main" count="94" uniqueCount="69">
  <si>
    <t>Показатель</t>
  </si>
  <si>
    <t>Процентные доходы</t>
  </si>
  <si>
    <t>55.2</t>
  </si>
  <si>
    <t>82.5</t>
  </si>
  <si>
    <t>Чистый процентный доход</t>
  </si>
  <si>
    <t>34.0</t>
  </si>
  <si>
    <t>Чистый комиссионный доход</t>
  </si>
  <si>
    <t>37.7</t>
  </si>
  <si>
    <t>Прочие доходы</t>
  </si>
  <si>
    <t>63.1</t>
  </si>
  <si>
    <t>Операционные расходы</t>
  </si>
  <si>
    <t>28.0</t>
  </si>
  <si>
    <t>Операционная прибыль</t>
  </si>
  <si>
    <t>43.0</t>
  </si>
  <si>
    <t>Чистая прибыль</t>
  </si>
  <si>
    <t>Изменение  %</t>
  </si>
  <si>
    <t>Общие активы</t>
  </si>
  <si>
    <t>Кредитный портфель(нетто)</t>
  </si>
  <si>
    <t>Средства клиентов</t>
  </si>
  <si>
    <t>Капитал</t>
  </si>
  <si>
    <t>Изменение %</t>
  </si>
  <si>
    <t>19.0</t>
  </si>
  <si>
    <t>25.0</t>
  </si>
  <si>
    <t>20.0</t>
  </si>
  <si>
    <t>Выручка</t>
  </si>
  <si>
    <t>ROE %</t>
  </si>
  <si>
    <t>Число клиентов млн.</t>
  </si>
  <si>
    <t>49.0</t>
  </si>
  <si>
    <t>29.0</t>
  </si>
  <si>
    <t>4.0</t>
  </si>
  <si>
    <t>54.1</t>
  </si>
  <si>
    <t>47.9</t>
  </si>
  <si>
    <t>13.0</t>
  </si>
  <si>
    <t xml:space="preserve">Квартал </t>
  </si>
  <si>
    <t>Q1 2025</t>
  </si>
  <si>
    <t>Q4 2025</t>
  </si>
  <si>
    <t>Q3 2025</t>
  </si>
  <si>
    <t>Q2 2025</t>
  </si>
  <si>
    <t>Доля  в доходах %</t>
  </si>
  <si>
    <t>Валовая маржа, %</t>
  </si>
  <si>
    <t>Процентные расходы</t>
  </si>
  <si>
    <t>Инвестиционный поток</t>
  </si>
  <si>
    <t>Остаток на начало</t>
  </si>
  <si>
    <t>Остаток на конец</t>
  </si>
  <si>
    <t xml:space="preserve">Операционный поток </t>
  </si>
  <si>
    <t xml:space="preserve">Финансовый поток </t>
  </si>
  <si>
    <t xml:space="preserve">Чистый денежный поток </t>
  </si>
  <si>
    <t>30.0</t>
  </si>
  <si>
    <t>Отклонение %</t>
  </si>
  <si>
    <t>План (+10%)</t>
  </si>
  <si>
    <t>32.01</t>
  </si>
  <si>
    <t>59.51</t>
  </si>
  <si>
    <t>(-)9.1</t>
  </si>
  <si>
    <t>Клиенты млн.</t>
  </si>
  <si>
    <t>Проблема</t>
  </si>
  <si>
    <t>Комментарий</t>
  </si>
  <si>
    <t>Рост процентных расходов</t>
  </si>
  <si>
    <t>ROE</t>
  </si>
  <si>
    <t>Давит на маржу</t>
  </si>
  <si>
    <t>(-)9.1%</t>
  </si>
  <si>
    <t>Ниже плана</t>
  </si>
  <si>
    <t>29.1%</t>
  </si>
  <si>
    <t>Выше среднего по рынку</t>
  </si>
  <si>
    <t>Финансовый дашборд Т-Банка, 2025</t>
  </si>
  <si>
    <t>Значение</t>
  </si>
  <si>
    <t>Отклонение от плана по выручке</t>
  </si>
  <si>
    <t>Отклонение от плана по прибыли</t>
  </si>
  <si>
    <t>+82.5%</t>
  </si>
  <si>
    <r>
      <t xml:space="preserve">          </t>
    </r>
    <r>
      <rPr>
        <sz val="16"/>
        <color theme="1"/>
        <rFont val="Consolas"/>
        <family val="3"/>
        <charset val="204"/>
      </rPr>
      <t>Красные зоны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</si>
</sst>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0"/>
      <color theme="1"/>
      <name val="Consolas"/>
      <family val="3"/>
      <charset val="204"/>
    </font>
    <font>
      <sz val="11"/>
      <color theme="1"/>
      <name val="Consolas"/>
      <family val="3"/>
      <charset val="204"/>
    </font>
    <font>
      <sz val="16"/>
      <color theme="1"/>
      <name val="Calibri"/>
      <family val="2"/>
      <scheme val="minor"/>
    </font>
    <font>
      <sz val="16"/>
      <color theme="1"/>
      <name val="Consolas"/>
      <family val="3"/>
      <charset val="204"/>
    </font>
    <font>
      <b/>
      <sz val="11"/>
      <color theme="1"/>
      <name val="Consolas"/>
      <family val="3"/>
      <charset val="204"/>
    </font>
    <font>
      <sz val="2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16" fontId="0" fillId="0" borderId="0" xfId="1" applyNumberFormat="1" applyFont="1" applyAlignment="1">
      <alignment horizontal="right"/>
    </xf>
    <xf numFmtId="0" fontId="1" fillId="0" borderId="0" xfId="0" applyFont="1"/>
    <xf numFmtId="16" fontId="0" fillId="0" borderId="0" xfId="0" applyNumberFormat="1" applyAlignment="1">
      <alignment horizontal="right"/>
    </xf>
    <xf numFmtId="0" fontId="0" fillId="0" borderId="0" xfId="0" quotePrefix="1"/>
    <xf numFmtId="0" fontId="6" fillId="0" borderId="0" xfId="0" applyFont="1" applyAlignment="1">
      <alignment horizontal="right" vertical="center"/>
    </xf>
    <xf numFmtId="0" fontId="8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16" fontId="8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5" fillId="0" borderId="1" xfId="0" applyFont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1" fillId="0" borderId="0" xfId="0" applyFont="1"/>
    <xf numFmtId="0" fontId="7" fillId="3" borderId="1" xfId="0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Структура доходов Т-Банка, 2025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53-466B-8207-FE50E1A21C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53-466B-8207-FE50E1A21C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53-466B-8207-FE50E1A21C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('Отчет о прибылях и убытках'!$A$2,'Отчет о прибылях и убытках'!$A$5,'Отчет о прибылях и убытках'!$A$6)</c:f>
              <c:strCache>
                <c:ptCount val="3"/>
                <c:pt idx="0">
                  <c:v>Процентные доходы</c:v>
                </c:pt>
                <c:pt idx="1">
                  <c:v>Чистый комиссионный доход</c:v>
                </c:pt>
                <c:pt idx="2">
                  <c:v>Прочие доходы</c:v>
                </c:pt>
              </c:strCache>
            </c:strRef>
          </c:cat>
          <c:val>
            <c:numRef>
              <c:f>('Отчет о прибылях и убытках'!$B$2,'Отчет о прибылях и убытках'!$B$5,'Отчет о прибылях и убытках'!$B$6)</c:f>
              <c:numCache>
                <c:formatCode>General</c:formatCode>
                <c:ptCount val="3"/>
                <c:pt idx="0">
                  <c:v>1071000</c:v>
                </c:pt>
                <c:pt idx="1">
                  <c:v>146000</c:v>
                </c:pt>
                <c:pt idx="2">
                  <c:v>734000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3-4119-9915-CD2E08B64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План-факт по ключевым показателям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KPI!$E$1</c:f>
              <c:strCache>
                <c:ptCount val="1"/>
                <c:pt idx="0">
                  <c:v>План (+10%)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KPI!$A$2:$B$5</c:f>
              <c:multiLvlStrCache>
                <c:ptCount val="4"/>
                <c:lvl>
                  <c:pt idx="0">
                    <c:v>1400000</c:v>
                  </c:pt>
                  <c:pt idx="1">
                    <c:v>174400</c:v>
                  </c:pt>
                  <c:pt idx="2">
                    <c:v>29.0</c:v>
                  </c:pt>
                  <c:pt idx="3">
                    <c:v>54.1</c:v>
                  </c:pt>
                </c:lvl>
                <c:lvl>
                  <c:pt idx="0">
                    <c:v>Выручка</c:v>
                  </c:pt>
                  <c:pt idx="1">
                    <c:v>Чистая прибыль</c:v>
                  </c:pt>
                  <c:pt idx="2">
                    <c:v>ROE %</c:v>
                  </c:pt>
                  <c:pt idx="3">
                    <c:v>Число клиентов млн.</c:v>
                  </c:pt>
                </c:lvl>
              </c:multiLvlStrCache>
            </c:multiLvlStrRef>
          </c:cat>
          <c:val>
            <c:numRef>
              <c:f>KPI!$E$2:$E$5</c:f>
              <c:numCache>
                <c:formatCode>General</c:formatCode>
                <c:ptCount val="4"/>
                <c:pt idx="0">
                  <c:v>1540000</c:v>
                </c:pt>
                <c:pt idx="1">
                  <c:v>191840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6-400E-AB8D-222480DED832}"/>
            </c:ext>
          </c:extLst>
        </c:ser>
        <c:ser>
          <c:idx val="1"/>
          <c:order val="1"/>
          <c:tx>
            <c:v>План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KPI!$E$2:$E$5</c:f>
              <c:numCache>
                <c:formatCode>General</c:formatCode>
                <c:ptCount val="4"/>
                <c:pt idx="0">
                  <c:v>1540000</c:v>
                </c:pt>
                <c:pt idx="1">
                  <c:v>191840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6-400E-AB8D-222480DED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455832"/>
        <c:axId val="402447912"/>
      </c:barChart>
      <c:catAx>
        <c:axId val="40245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447912"/>
        <c:crosses val="autoZero"/>
        <c:auto val="1"/>
        <c:lblAlgn val="ctr"/>
        <c:lblOffset val="100"/>
        <c:noMultiLvlLbl val="0"/>
      </c:catAx>
      <c:valAx>
        <c:axId val="40244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455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Динамика выручки и прибыли по кварталам 2025</a:t>
            </a:r>
            <a:endParaRPr lang="ru-RU"/>
          </a:p>
        </c:rich>
      </c:tx>
      <c:layout>
        <c:manualLayout>
          <c:xMode val="edge"/>
          <c:yMode val="edge"/>
          <c:x val="0.1039026684164479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'Ежеквартальный отчет'!$B$1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'Ежеквартальный отчет'!$A$2:$A$5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'Ежеквартальный отчет'!$B$2:$B$5</c:f>
              <c:numCache>
                <c:formatCode>General</c:formatCode>
                <c:ptCount val="4"/>
                <c:pt idx="0">
                  <c:v>300000</c:v>
                </c:pt>
                <c:pt idx="1">
                  <c:v>340000</c:v>
                </c:pt>
                <c:pt idx="2">
                  <c:v>360000</c:v>
                </c:pt>
                <c:pt idx="3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8-47EB-BFE2-E061B57A9AE9}"/>
            </c:ext>
          </c:extLst>
        </c:ser>
        <c:ser>
          <c:idx val="1"/>
          <c:order val="1"/>
          <c:tx>
            <c:strRef>
              <c:f>'Ежеквартальный отчет'!$C$1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'Ежеквартальный отчет'!$A$2:$A$5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'Ежеквартальный отчет'!$C$2:$C$5</c:f>
              <c:numCache>
                <c:formatCode>General</c:formatCode>
                <c:ptCount val="4"/>
                <c:pt idx="0">
                  <c:v>40000</c:v>
                </c:pt>
                <c:pt idx="1">
                  <c:v>42000</c:v>
                </c:pt>
                <c:pt idx="2">
                  <c:v>45000</c:v>
                </c:pt>
                <c:pt idx="3">
                  <c:v>47400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8-47EB-BFE2-E061B57A9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957664"/>
        <c:axId val="575967744"/>
      </c:barChart>
      <c:catAx>
        <c:axId val="5759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967744"/>
        <c:crosses val="autoZero"/>
        <c:auto val="1"/>
        <c:lblAlgn val="ctr"/>
        <c:lblOffset val="100"/>
        <c:noMultiLvlLbl val="0"/>
      </c:catAx>
      <c:valAx>
        <c:axId val="5759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9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Динамика выручки и прибыли по кварталам 2025</a:t>
            </a:r>
            <a:endParaRPr lang="ru-RU"/>
          </a:p>
        </c:rich>
      </c:tx>
      <c:layout>
        <c:manualLayout>
          <c:xMode val="edge"/>
          <c:yMode val="edge"/>
          <c:x val="0.10390266841644796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'Ежеквартальный отчет'!$B$1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'Ежеквартальный отчет'!$A$2:$A$5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'Ежеквартальный отчет'!$B$2:$B$5</c:f>
              <c:numCache>
                <c:formatCode>General</c:formatCode>
                <c:ptCount val="4"/>
                <c:pt idx="0">
                  <c:v>300000</c:v>
                </c:pt>
                <c:pt idx="1">
                  <c:v>340000</c:v>
                </c:pt>
                <c:pt idx="2">
                  <c:v>360000</c:v>
                </c:pt>
                <c:pt idx="3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B-4E86-B85E-A14D4F8709A2}"/>
            </c:ext>
          </c:extLst>
        </c:ser>
        <c:ser>
          <c:idx val="1"/>
          <c:order val="1"/>
          <c:tx>
            <c:strRef>
              <c:f>'Ежеквартальный отчет'!$C$1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'Ежеквартальный отчет'!$A$2:$A$5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'Ежеквартальный отчет'!$C$2:$C$5</c:f>
              <c:numCache>
                <c:formatCode>General</c:formatCode>
                <c:ptCount val="4"/>
                <c:pt idx="0">
                  <c:v>40000</c:v>
                </c:pt>
                <c:pt idx="1">
                  <c:v>42000</c:v>
                </c:pt>
                <c:pt idx="2">
                  <c:v>45000</c:v>
                </c:pt>
                <c:pt idx="3">
                  <c:v>47400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B-4E86-B85E-A14D4F87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957664"/>
        <c:axId val="575967744"/>
      </c:barChart>
      <c:catAx>
        <c:axId val="5759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967744"/>
        <c:crosses val="autoZero"/>
        <c:auto val="1"/>
        <c:lblAlgn val="ctr"/>
        <c:lblOffset val="100"/>
        <c:noMultiLvlLbl val="0"/>
      </c:catAx>
      <c:valAx>
        <c:axId val="5759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9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Структура доходов Т-Банка, 2025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04-4F35-893D-D45D017431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04-4F35-893D-D45D017431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04-4F35-893D-D45D01743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('Отчет о прибылях и убытках'!$A$2,'Отчет о прибылях и убытках'!$A$5,'Отчет о прибылях и убытках'!$A$6)</c:f>
              <c:strCache>
                <c:ptCount val="3"/>
                <c:pt idx="0">
                  <c:v>Процентные доходы</c:v>
                </c:pt>
                <c:pt idx="1">
                  <c:v>Чистый комиссионный доход</c:v>
                </c:pt>
                <c:pt idx="2">
                  <c:v>Прочие доходы</c:v>
                </c:pt>
              </c:strCache>
            </c:strRef>
          </c:cat>
          <c:val>
            <c:numRef>
              <c:f>('Отчет о прибылях и убытках'!$B$2,'Отчет о прибылях и убытках'!$B$5,'Отчет о прибылях и убытках'!$B$6)</c:f>
              <c:numCache>
                <c:formatCode>General</c:formatCode>
                <c:ptCount val="3"/>
                <c:pt idx="0">
                  <c:v>1071000</c:v>
                </c:pt>
                <c:pt idx="1">
                  <c:v>146000</c:v>
                </c:pt>
                <c:pt idx="2">
                  <c:v>734000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04-4F35-893D-D45D01743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План-факт по ключевым показателям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KPI!$E$1</c:f>
              <c:strCache>
                <c:ptCount val="1"/>
                <c:pt idx="0">
                  <c:v>План (+10%)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KPI!$A$2:$B$5</c:f>
              <c:multiLvlStrCache>
                <c:ptCount val="4"/>
                <c:lvl>
                  <c:pt idx="0">
                    <c:v>1400000</c:v>
                  </c:pt>
                  <c:pt idx="1">
                    <c:v>174400</c:v>
                  </c:pt>
                  <c:pt idx="2">
                    <c:v>29.0</c:v>
                  </c:pt>
                  <c:pt idx="3">
                    <c:v>54.1</c:v>
                  </c:pt>
                </c:lvl>
                <c:lvl>
                  <c:pt idx="0">
                    <c:v>Выручка</c:v>
                  </c:pt>
                  <c:pt idx="1">
                    <c:v>Чистая прибыль</c:v>
                  </c:pt>
                  <c:pt idx="2">
                    <c:v>ROE %</c:v>
                  </c:pt>
                  <c:pt idx="3">
                    <c:v>Число клиентов млн.</c:v>
                  </c:pt>
                </c:lvl>
              </c:multiLvlStrCache>
            </c:multiLvlStrRef>
          </c:cat>
          <c:val>
            <c:numRef>
              <c:f>KPI!$E$2:$E$5</c:f>
              <c:numCache>
                <c:formatCode>General</c:formatCode>
                <c:ptCount val="4"/>
                <c:pt idx="0">
                  <c:v>1540000</c:v>
                </c:pt>
                <c:pt idx="1">
                  <c:v>191840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0-403B-AD57-6BBDFDD24484}"/>
            </c:ext>
          </c:extLst>
        </c:ser>
        <c:ser>
          <c:idx val="1"/>
          <c:order val="1"/>
          <c:tx>
            <c:v>План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KPI!$E$2:$E$5</c:f>
              <c:numCache>
                <c:formatCode>General</c:formatCode>
                <c:ptCount val="4"/>
                <c:pt idx="0">
                  <c:v>1540000</c:v>
                </c:pt>
                <c:pt idx="1">
                  <c:v>191840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0-403B-AD57-6BBDFDD24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455832"/>
        <c:axId val="402447912"/>
      </c:barChart>
      <c:catAx>
        <c:axId val="40245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447912"/>
        <c:crosses val="autoZero"/>
        <c:auto val="1"/>
        <c:lblAlgn val="ctr"/>
        <c:lblOffset val="100"/>
        <c:noMultiLvlLbl val="0"/>
      </c:catAx>
      <c:valAx>
        <c:axId val="40244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2455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14287</xdr:rowOff>
    </xdr:from>
    <xdr:to>
      <xdr:col>4</xdr:col>
      <xdr:colOff>200025</xdr:colOff>
      <xdr:row>24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0B25E2-ABC5-4D38-475C-6075F0BC2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300037</xdr:colOff>
      <xdr:row>7</xdr:row>
      <xdr:rowOff>114306</xdr:rowOff>
    </xdr:from>
    <xdr:to>
      <xdr:col>5</xdr:col>
      <xdr:colOff>147637</xdr:colOff>
      <xdr:row>22</xdr:row>
      <xdr:rowOff>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374D0B9-E3D5-B0CD-FB65-9D1787C0D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5</xdr:row>
      <xdr:rowOff>14287</xdr:rowOff>
    </xdr:from>
    <xdr:to>
      <xdr:col>7</xdr:col>
      <xdr:colOff>381000</xdr:colOff>
      <xdr:row>19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9CB410-BFC1-87BD-C6CA-3A7F65B27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27217</xdr:colOff>
      <xdr:row>3</xdr:row>
      <xdr:rowOff>186417</xdr:rowOff>
    </xdr:from>
    <xdr:to>
      <xdr:col>3</xdr:col>
      <xdr:colOff>1</xdr:colOff>
      <xdr:row>19</xdr:row>
      <xdr:rowOff>13606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F41C36-F2AA-49BE-92A1-510CA8550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625927</xdr:colOff>
      <xdr:row>4</xdr:row>
      <xdr:rowOff>4080</xdr:rowOff>
    </xdr:from>
    <xdr:to>
      <xdr:col>9</xdr:col>
      <xdr:colOff>571499</xdr:colOff>
      <xdr:row>19</xdr:row>
      <xdr:rowOff>13605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14B20ED-B70F-4148-8E5C-EC5A29068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450396</xdr:colOff>
      <xdr:row>3</xdr:row>
      <xdr:rowOff>185058</xdr:rowOff>
    </xdr:from>
    <xdr:to>
      <xdr:col>17</xdr:col>
      <xdr:colOff>322489</xdr:colOff>
      <xdr:row>19</xdr:row>
      <xdr:rowOff>13608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D5959B9-4E4E-4DA0-A4D7-3BC414243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opLeftCell="A6" workbookViewId="0">
      <selection activeCell="A6" activeCellId="2" sqref="A2:B2 A5:B5 A6:B6"/>
    </sheetView>
  </sheetViews>
  <sheetFormatPr defaultRowHeight="15" x14ac:dyDescent="0.25"/>
  <cols>
    <col min="1" max="1" width="27.85546875" customWidth="1"/>
    <col min="2" max="2" width="11.42578125" customWidth="1"/>
    <col min="3" max="3" width="13.140625" customWidth="1"/>
    <col min="4" max="4" width="14.5703125" customWidth="1"/>
    <col min="5" max="5" width="19.85546875" customWidth="1"/>
    <col min="6" max="6" width="18.42578125" customWidth="1"/>
  </cols>
  <sheetData>
    <row r="1" spans="1:6" x14ac:dyDescent="0.25">
      <c r="A1" t="s">
        <v>0</v>
      </c>
      <c r="B1">
        <v>2025</v>
      </c>
      <c r="C1">
        <v>2024</v>
      </c>
      <c r="D1" t="s">
        <v>15</v>
      </c>
      <c r="E1" s="1" t="s">
        <v>38</v>
      </c>
      <c r="F1" s="1" t="s">
        <v>39</v>
      </c>
    </row>
    <row r="2" spans="1:6" x14ac:dyDescent="0.25">
      <c r="A2" t="s">
        <v>1</v>
      </c>
      <c r="B2">
        <v>1071000</v>
      </c>
      <c r="C2">
        <v>690000</v>
      </c>
      <c r="D2" s="1" t="s">
        <v>2</v>
      </c>
      <c r="E2">
        <f>B2/$B$2*100</f>
        <v>100</v>
      </c>
    </row>
    <row r="3" spans="1:6" x14ac:dyDescent="0.25">
      <c r="A3" s="3" t="s">
        <v>40</v>
      </c>
      <c r="B3">
        <v>-551000</v>
      </c>
      <c r="C3">
        <v>-302000</v>
      </c>
      <c r="D3" s="1" t="s">
        <v>3</v>
      </c>
      <c r="E3">
        <f t="shared" ref="E3:E9" si="0">B3/$B$2*100</f>
        <v>-51.447245564892619</v>
      </c>
    </row>
    <row r="4" spans="1:6" x14ac:dyDescent="0.25">
      <c r="A4" t="s">
        <v>4</v>
      </c>
      <c r="B4">
        <v>520000</v>
      </c>
      <c r="C4">
        <v>388000</v>
      </c>
      <c r="D4" s="1" t="s">
        <v>5</v>
      </c>
      <c r="E4">
        <f t="shared" si="0"/>
        <v>48.552754435107374</v>
      </c>
      <c r="F4">
        <f>B4/$B$2*100</f>
        <v>48.552754435107374</v>
      </c>
    </row>
    <row r="5" spans="1:6" x14ac:dyDescent="0.25">
      <c r="A5" t="s">
        <v>6</v>
      </c>
      <c r="B5">
        <v>146000</v>
      </c>
      <c r="C5">
        <v>106000</v>
      </c>
      <c r="D5" s="1" t="s">
        <v>7</v>
      </c>
      <c r="E5">
        <f t="shared" si="0"/>
        <v>13.632119514472455</v>
      </c>
    </row>
    <row r="6" spans="1:6" x14ac:dyDescent="0.25">
      <c r="A6" t="s">
        <v>8</v>
      </c>
      <c r="B6">
        <v>734000</v>
      </c>
      <c r="C6">
        <v>450000</v>
      </c>
      <c r="D6" s="1" t="s">
        <v>9</v>
      </c>
      <c r="E6">
        <f t="shared" si="0"/>
        <v>68.534080298786179</v>
      </c>
    </row>
    <row r="7" spans="1:6" x14ac:dyDescent="0.25">
      <c r="A7" t="s">
        <v>10</v>
      </c>
      <c r="B7">
        <v>-357000</v>
      </c>
      <c r="C7">
        <v>-279000</v>
      </c>
      <c r="D7" s="1" t="s">
        <v>11</v>
      </c>
      <c r="E7">
        <f t="shared" si="0"/>
        <v>-33.333333333333329</v>
      </c>
    </row>
    <row r="8" spans="1:6" x14ac:dyDescent="0.25">
      <c r="A8" t="s">
        <v>12</v>
      </c>
      <c r="B8">
        <v>174400</v>
      </c>
      <c r="C8">
        <v>122000</v>
      </c>
      <c r="D8" s="1" t="s">
        <v>13</v>
      </c>
      <c r="E8">
        <f t="shared" si="0"/>
        <v>16.283846872082165</v>
      </c>
    </row>
    <row r="9" spans="1:6" x14ac:dyDescent="0.25">
      <c r="A9" t="s">
        <v>14</v>
      </c>
      <c r="B9">
        <v>174400</v>
      </c>
      <c r="C9">
        <v>122000</v>
      </c>
      <c r="D9" s="1" t="s">
        <v>13</v>
      </c>
      <c r="E9">
        <f t="shared" si="0"/>
        <v>16.283846872082165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2CD7-3C8D-4D6F-AFD5-EC2954D01579}">
  <dimension ref="A1:E5"/>
  <sheetViews>
    <sheetView workbookViewId="0">
      <selection activeCell="E1" sqref="E1"/>
    </sheetView>
  </sheetViews>
  <sheetFormatPr defaultRowHeight="15" x14ac:dyDescent="0.25"/>
  <cols>
    <col min="1" max="1" width="27.7109375" customWidth="1"/>
    <col min="2" max="2" width="10.7109375" customWidth="1"/>
    <col min="3" max="3" width="14.42578125" customWidth="1"/>
    <col min="4" max="4" width="15.7109375" customWidth="1"/>
    <col min="5" max="5" width="18.28515625" customWidth="1"/>
  </cols>
  <sheetData>
    <row r="1" spans="1:5" x14ac:dyDescent="0.25">
      <c r="A1" t="s">
        <v>0</v>
      </c>
      <c r="B1">
        <v>2025</v>
      </c>
      <c r="C1">
        <v>2024</v>
      </c>
      <c r="D1" s="1" t="s">
        <v>20</v>
      </c>
      <c r="E1" s="1"/>
    </row>
    <row r="2" spans="1:5" x14ac:dyDescent="0.25">
      <c r="A2" t="s">
        <v>16</v>
      </c>
      <c r="B2">
        <v>6084000</v>
      </c>
      <c r="C2">
        <v>5113000</v>
      </c>
      <c r="D2" s="1" t="s">
        <v>21</v>
      </c>
    </row>
    <row r="3" spans="1:5" x14ac:dyDescent="0.25">
      <c r="A3" t="s">
        <v>17</v>
      </c>
      <c r="B3">
        <v>3169000</v>
      </c>
      <c r="C3">
        <v>2535000</v>
      </c>
      <c r="D3" s="1" t="s">
        <v>22</v>
      </c>
    </row>
    <row r="4" spans="1:5" x14ac:dyDescent="0.25">
      <c r="A4" t="s">
        <v>18</v>
      </c>
      <c r="B4">
        <v>4200000</v>
      </c>
      <c r="C4">
        <v>350000</v>
      </c>
      <c r="D4" s="1" t="s">
        <v>23</v>
      </c>
    </row>
    <row r="5" spans="1:5" x14ac:dyDescent="0.25">
      <c r="A5" t="s">
        <v>19</v>
      </c>
      <c r="B5">
        <v>600000</v>
      </c>
      <c r="C5">
        <v>500000</v>
      </c>
      <c r="D5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3A24-885B-4170-B8DA-D33235E9EE9A}">
  <dimension ref="A1:F5"/>
  <sheetViews>
    <sheetView topLeftCell="A4" workbookViewId="0">
      <selection activeCell="G12" sqref="G12"/>
    </sheetView>
  </sheetViews>
  <sheetFormatPr defaultRowHeight="15" x14ac:dyDescent="0.25"/>
  <cols>
    <col min="1" max="1" width="21.140625" customWidth="1"/>
    <col min="2" max="2" width="12" customWidth="1"/>
    <col min="3" max="3" width="11.42578125" customWidth="1"/>
    <col min="4" max="4" width="14.28515625" customWidth="1"/>
    <col min="5" max="5" width="12" customWidth="1"/>
    <col min="6" max="6" width="19.85546875" customWidth="1"/>
  </cols>
  <sheetData>
    <row r="1" spans="1:6" x14ac:dyDescent="0.25">
      <c r="A1" t="s">
        <v>0</v>
      </c>
      <c r="B1">
        <v>2025</v>
      </c>
      <c r="C1">
        <v>2024</v>
      </c>
      <c r="D1" t="s">
        <v>20</v>
      </c>
      <c r="E1" s="1" t="s">
        <v>49</v>
      </c>
      <c r="F1" s="1" t="s">
        <v>48</v>
      </c>
    </row>
    <row r="2" spans="1:6" x14ac:dyDescent="0.25">
      <c r="A2" t="s">
        <v>24</v>
      </c>
      <c r="B2" s="1">
        <v>1400000</v>
      </c>
      <c r="C2" s="1">
        <v>940000</v>
      </c>
      <c r="D2" s="1" t="s">
        <v>27</v>
      </c>
      <c r="E2">
        <v>1540000</v>
      </c>
      <c r="F2" s="6" t="s">
        <v>52</v>
      </c>
    </row>
    <row r="3" spans="1:6" x14ac:dyDescent="0.25">
      <c r="A3" t="s">
        <v>14</v>
      </c>
      <c r="B3" s="1">
        <v>174400</v>
      </c>
      <c r="C3" s="1">
        <v>122000</v>
      </c>
      <c r="D3" s="1" t="s">
        <v>13</v>
      </c>
      <c r="E3">
        <v>191840</v>
      </c>
      <c r="F3" s="1" t="s">
        <v>52</v>
      </c>
    </row>
    <row r="4" spans="1:6" x14ac:dyDescent="0.25">
      <c r="A4" t="s">
        <v>25</v>
      </c>
      <c r="B4" s="2" t="s">
        <v>28</v>
      </c>
      <c r="C4" s="1" t="s">
        <v>22</v>
      </c>
      <c r="D4" s="1" t="s">
        <v>29</v>
      </c>
      <c r="E4" s="1" t="s">
        <v>50</v>
      </c>
      <c r="F4" s="1" t="s">
        <v>52</v>
      </c>
    </row>
    <row r="5" spans="1:6" x14ac:dyDescent="0.25">
      <c r="A5" t="s">
        <v>26</v>
      </c>
      <c r="B5" s="1" t="s">
        <v>30</v>
      </c>
      <c r="C5" s="1" t="s">
        <v>31</v>
      </c>
      <c r="D5" s="1" t="s">
        <v>32</v>
      </c>
      <c r="E5" s="1" t="s">
        <v>51</v>
      </c>
      <c r="F5" s="1" t="s"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B99A-7715-4148-B48B-B1E0E37F6558}">
  <dimension ref="A1:D5"/>
  <sheetViews>
    <sheetView topLeftCell="A4" workbookViewId="0">
      <selection activeCell="I13" sqref="I13"/>
    </sheetView>
  </sheetViews>
  <sheetFormatPr defaultRowHeight="15" x14ac:dyDescent="0.25"/>
  <cols>
    <col min="3" max="3" width="16.7109375" customWidth="1"/>
  </cols>
  <sheetData>
    <row r="1" spans="1:4" x14ac:dyDescent="0.25">
      <c r="A1" t="s">
        <v>33</v>
      </c>
      <c r="B1" t="s">
        <v>24</v>
      </c>
      <c r="C1" t="s">
        <v>14</v>
      </c>
      <c r="D1" t="s">
        <v>25</v>
      </c>
    </row>
    <row r="2" spans="1:4" x14ac:dyDescent="0.25">
      <c r="A2" t="s">
        <v>34</v>
      </c>
      <c r="B2">
        <v>300000</v>
      </c>
      <c r="C2">
        <v>40000</v>
      </c>
      <c r="D2" t="s">
        <v>11</v>
      </c>
    </row>
    <row r="3" spans="1:4" x14ac:dyDescent="0.25">
      <c r="A3" t="s">
        <v>37</v>
      </c>
      <c r="B3">
        <v>340000</v>
      </c>
      <c r="C3">
        <v>42000</v>
      </c>
      <c r="D3" t="s">
        <v>11</v>
      </c>
    </row>
    <row r="4" spans="1:4" x14ac:dyDescent="0.25">
      <c r="A4" t="s">
        <v>36</v>
      </c>
      <c r="B4">
        <v>360000</v>
      </c>
      <c r="C4">
        <v>45000</v>
      </c>
      <c r="D4" t="s">
        <v>28</v>
      </c>
    </row>
    <row r="5" spans="1:4" x14ac:dyDescent="0.25">
      <c r="A5" t="s">
        <v>35</v>
      </c>
      <c r="B5">
        <v>400000</v>
      </c>
      <c r="C5">
        <v>47400</v>
      </c>
      <c r="D5" t="s">
        <v>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7E3A-F67D-4215-AA69-4ED536095D6B}">
  <dimension ref="A1:F7"/>
  <sheetViews>
    <sheetView workbookViewId="0">
      <selection activeCell="F1" sqref="F1"/>
    </sheetView>
  </sheetViews>
  <sheetFormatPr defaultRowHeight="15" x14ac:dyDescent="0.25"/>
  <cols>
    <col min="1" max="1" width="24" customWidth="1"/>
    <col min="2" max="2" width="9.140625" customWidth="1"/>
    <col min="3" max="3" width="10.85546875" customWidth="1"/>
    <col min="4" max="4" width="15.7109375" customWidth="1"/>
    <col min="5" max="5" width="11" customWidth="1"/>
    <col min="6" max="6" width="17.28515625" customWidth="1"/>
  </cols>
  <sheetData>
    <row r="1" spans="1:6" x14ac:dyDescent="0.25">
      <c r="A1" t="s">
        <v>0</v>
      </c>
      <c r="B1">
        <v>2025</v>
      </c>
      <c r="C1">
        <v>2024</v>
      </c>
      <c r="D1" s="1" t="s">
        <v>20</v>
      </c>
      <c r="E1" s="1"/>
      <c r="F1" s="1"/>
    </row>
    <row r="2" spans="1:6" x14ac:dyDescent="0.25">
      <c r="A2" t="s">
        <v>44</v>
      </c>
      <c r="B2">
        <v>520000</v>
      </c>
      <c r="C2">
        <v>388000</v>
      </c>
      <c r="D2">
        <f>(B2-C2)/C2*100</f>
        <v>34.020618556701031</v>
      </c>
      <c r="E2" s="5"/>
    </row>
    <row r="3" spans="1:6" x14ac:dyDescent="0.25">
      <c r="A3" t="s">
        <v>41</v>
      </c>
      <c r="B3">
        <v>-200000</v>
      </c>
      <c r="C3">
        <v>-150000</v>
      </c>
      <c r="D3">
        <f>(B3-C3)/C3*100</f>
        <v>33.333333333333329</v>
      </c>
    </row>
    <row r="4" spans="1:6" x14ac:dyDescent="0.25">
      <c r="A4" t="s">
        <v>45</v>
      </c>
      <c r="B4">
        <v>100000</v>
      </c>
      <c r="C4">
        <v>80000</v>
      </c>
      <c r="D4">
        <f>(B4-C4)/C4*100</f>
        <v>25</v>
      </c>
    </row>
    <row r="5" spans="1:6" x14ac:dyDescent="0.25">
      <c r="A5" t="s">
        <v>46</v>
      </c>
      <c r="B5">
        <v>420000</v>
      </c>
      <c r="C5">
        <v>318000</v>
      </c>
      <c r="D5">
        <f>(B5-C5)/C5*100</f>
        <v>32.075471698113205</v>
      </c>
    </row>
    <row r="6" spans="1:6" x14ac:dyDescent="0.25">
      <c r="A6" t="s">
        <v>42</v>
      </c>
      <c r="B6">
        <v>1200000</v>
      </c>
      <c r="C6">
        <v>1000000</v>
      </c>
      <c r="D6">
        <f>(B6-C6)/C6*100</f>
        <v>20</v>
      </c>
    </row>
    <row r="7" spans="1:6" x14ac:dyDescent="0.25">
      <c r="A7" t="s">
        <v>43</v>
      </c>
      <c r="B7">
        <v>1620000</v>
      </c>
      <c r="C7">
        <v>1318000</v>
      </c>
      <c r="D7" s="4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7416-CC26-4FE1-AED1-C3F7E2981EB1}">
  <dimension ref="A1:L29"/>
  <sheetViews>
    <sheetView showRowColHeaders="0" tabSelected="1" zoomScale="70" zoomScaleNormal="70" workbookViewId="0">
      <selection activeCell="E24" sqref="E24"/>
    </sheetView>
  </sheetViews>
  <sheetFormatPr defaultRowHeight="15" x14ac:dyDescent="0.25"/>
  <cols>
    <col min="1" max="1" width="35.140625" customWidth="1"/>
    <col min="2" max="2" width="14.85546875" customWidth="1"/>
    <col min="3" max="3" width="26.140625" customWidth="1"/>
    <col min="4" max="4" width="17" customWidth="1"/>
    <col min="6" max="6" width="11.42578125" customWidth="1"/>
    <col min="8" max="8" width="14.85546875" customWidth="1"/>
    <col min="9" max="9" width="13.28515625" customWidth="1"/>
    <col min="10" max="10" width="9.28515625" customWidth="1"/>
    <col min="11" max="11" width="15.7109375" customWidth="1"/>
    <col min="12" max="14" width="9.140625" customWidth="1"/>
  </cols>
  <sheetData>
    <row r="1" spans="4:12" ht="31.5" x14ac:dyDescent="0.5">
      <c r="D1" s="14" t="s">
        <v>63</v>
      </c>
      <c r="E1" s="14"/>
      <c r="F1" s="14"/>
      <c r="G1" s="14"/>
      <c r="H1" s="14"/>
      <c r="I1" s="14"/>
      <c r="J1" s="14"/>
      <c r="K1" s="14"/>
      <c r="L1" s="14"/>
    </row>
    <row r="2" spans="4:12" x14ac:dyDescent="0.25">
      <c r="D2" s="10" t="s">
        <v>24</v>
      </c>
      <c r="E2" s="11"/>
      <c r="F2" s="11" t="s">
        <v>14</v>
      </c>
      <c r="G2" s="11"/>
      <c r="H2" s="11" t="s">
        <v>25</v>
      </c>
      <c r="I2" s="11"/>
      <c r="J2" s="11" t="s">
        <v>53</v>
      </c>
    </row>
    <row r="3" spans="4:12" ht="21" x14ac:dyDescent="0.35">
      <c r="D3" s="7">
        <f>KPI!B2</f>
        <v>1400000</v>
      </c>
      <c r="E3" s="7"/>
      <c r="F3" s="8">
        <f>KPI!B3</f>
        <v>174400</v>
      </c>
      <c r="G3" s="7"/>
      <c r="H3" s="9" t="str">
        <f>KPI!B4</f>
        <v>29.0</v>
      </c>
      <c r="I3" s="7"/>
      <c r="J3" s="7" t="str">
        <f>KPI!B5</f>
        <v>54.1</v>
      </c>
    </row>
    <row r="24" spans="1:4" ht="20.25" x14ac:dyDescent="0.3">
      <c r="A24" s="15" t="s">
        <v>68</v>
      </c>
      <c r="B24" s="15"/>
      <c r="C24" s="15"/>
    </row>
    <row r="25" spans="1:4" x14ac:dyDescent="0.25">
      <c r="A25" s="13" t="s">
        <v>54</v>
      </c>
      <c r="B25" s="13" t="s">
        <v>64</v>
      </c>
      <c r="C25" s="13" t="s">
        <v>55</v>
      </c>
      <c r="D25" s="1"/>
    </row>
    <row r="26" spans="1:4" ht="16.5" x14ac:dyDescent="0.3">
      <c r="A26" s="12" t="s">
        <v>56</v>
      </c>
      <c r="B26" s="12" t="s">
        <v>67</v>
      </c>
      <c r="C26" s="12" t="s">
        <v>58</v>
      </c>
    </row>
    <row r="27" spans="1:4" ht="16.5" x14ac:dyDescent="0.3">
      <c r="A27" s="12" t="s">
        <v>65</v>
      </c>
      <c r="B27" s="12" t="s">
        <v>59</v>
      </c>
      <c r="C27" s="12" t="s">
        <v>60</v>
      </c>
    </row>
    <row r="28" spans="1:4" ht="16.5" x14ac:dyDescent="0.3">
      <c r="A28" s="12" t="s">
        <v>66</v>
      </c>
      <c r="B28" s="12" t="s">
        <v>59</v>
      </c>
      <c r="C28" s="12" t="s">
        <v>60</v>
      </c>
    </row>
    <row r="29" spans="1:4" ht="16.5" x14ac:dyDescent="0.3">
      <c r="A29" s="12" t="s">
        <v>57</v>
      </c>
      <c r="B29" s="12" t="s">
        <v>61</v>
      </c>
      <c r="C29" s="12" t="s">
        <v>62</v>
      </c>
    </row>
  </sheetData>
  <mergeCells count="1">
    <mergeCell ref="A24:C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Отчет о прибылях и убытках</vt:lpstr>
      <vt:lpstr>Бухгалтерский баланс</vt:lpstr>
      <vt:lpstr>KPI</vt:lpstr>
      <vt:lpstr>Ежеквартальный отчет</vt:lpstr>
      <vt:lpstr>Отчёт о движении денежных средс</vt:lpstr>
      <vt:lpstr>Панель управления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Лысенко</dc:creator>
  <cp:lastModifiedBy>Александр Лысенко</cp:lastModifiedBy>
  <dcterms:created xsi:type="dcterms:W3CDTF">2015-06-05T18:19:34Z</dcterms:created>
  <dcterms:modified xsi:type="dcterms:W3CDTF">2026-09-27T15:08:49Z</dcterms:modified>
</cp:coreProperties>
</file>